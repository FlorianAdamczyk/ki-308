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lixhollfoth/Documents/Uni/JLU/2. Semester/KI I/Projekt KI I Neu/ki-308/results/"/>
    </mc:Choice>
  </mc:AlternateContent>
  <xr:revisionPtr revIDLastSave="0" documentId="8_{9EFC218A-1A48-7241-8F09-499D1EDA5612}" xr6:coauthVersionLast="47" xr6:coauthVersionMax="47" xr10:uidLastSave="{00000000-0000-0000-0000-000000000000}"/>
  <bookViews>
    <workbookView xWindow="14520" yWindow="0" windowWidth="14280" windowHeight="18000" xr2:uid="{6AE51630-ABAF-EA4A-B486-091D5CE52967}"/>
  </bookViews>
  <sheets>
    <sheet name="R^2 ja nach Akt. Und scaling " sheetId="1" r:id="rId1"/>
    <sheet name="Vergleich Skalierungen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F22" i="1"/>
  <c r="F23" i="1"/>
  <c r="F24" i="1"/>
  <c r="F25" i="1"/>
  <c r="F26" i="1"/>
  <c r="E22" i="1"/>
  <c r="E23" i="1"/>
  <c r="E24" i="1"/>
  <c r="E25" i="1"/>
  <c r="E26" i="1"/>
  <c r="D23" i="1"/>
  <c r="D24" i="1"/>
  <c r="D25" i="1"/>
  <c r="D26" i="1"/>
  <c r="C22" i="1"/>
  <c r="C23" i="1"/>
  <c r="C24" i="1"/>
  <c r="C25" i="1"/>
  <c r="C26" i="1"/>
  <c r="D21" i="1"/>
  <c r="E21" i="1"/>
  <c r="F21" i="1"/>
  <c r="C21" i="1"/>
  <c r="F13" i="1"/>
  <c r="F14" i="1"/>
  <c r="F15" i="1"/>
  <c r="F16" i="1"/>
  <c r="F17" i="1"/>
  <c r="F12" i="1"/>
  <c r="F4" i="1"/>
  <c r="F5" i="1"/>
  <c r="F6" i="1"/>
  <c r="F7" i="1"/>
  <c r="F8" i="1"/>
  <c r="F3" i="1"/>
</calcChain>
</file>

<file path=xl/sharedStrings.xml><?xml version="1.0" encoding="utf-8"?>
<sst xmlns="http://schemas.openxmlformats.org/spreadsheetml/2006/main" count="51" uniqueCount="28">
  <si>
    <t>Aktivierungsfunktion</t>
  </si>
  <si>
    <t>normal</t>
  </si>
  <si>
    <t>standard</t>
  </si>
  <si>
    <t>minmax</t>
  </si>
  <si>
    <t>R^2-Score Train</t>
  </si>
  <si>
    <t>relu</t>
  </si>
  <si>
    <t>tanh</t>
  </si>
  <si>
    <t>sigmoid</t>
  </si>
  <si>
    <t>elu</t>
  </si>
  <si>
    <t>selu</t>
  </si>
  <si>
    <t>leaky relu</t>
  </si>
  <si>
    <t>R^2-Score Test</t>
  </si>
  <si>
    <t>Durchschnitt</t>
  </si>
  <si>
    <t>=&gt; Manchmal Normal am besten aber häufig ist Standard am besten</t>
  </si>
  <si>
    <t>Differenz zwischen Train und Test Score:</t>
  </si>
  <si>
    <t>Skalierung</t>
  </si>
  <si>
    <t>R^2 Train</t>
  </si>
  <si>
    <t>R^2 Test</t>
  </si>
  <si>
    <t>MAE Test</t>
  </si>
  <si>
    <t>RMSE Test</t>
  </si>
  <si>
    <t>Normal</t>
  </si>
  <si>
    <t>Standard</t>
  </si>
  <si>
    <t>MinMax</t>
  </si>
  <si>
    <t>Mittelwert über die Aktivierungsfunktionen</t>
  </si>
  <si>
    <t>=&gt; Modell macht einige Ausreißerfehler, da RMSE um circa 15% größer ist als MAE</t>
  </si>
  <si>
    <t>=&gt; Selu ist bester Kanditat aber nicht Haushoch überlegen &lt; 1 % gegenüber anderen Aktivierungsfunktionen</t>
  </si>
  <si>
    <t>=&gt; Selu ist perfekt gegen nicht Normalverteilte Daten (Hier schiefe Verteilungen, Außreißer (manche noch vorhanden, unterschiedliche skalen)</t>
  </si>
  <si>
    <t>=&gt; Selu lässt negative Werte zu und ist glatter als Relu, was einen stabileren Gradienten erzeugen kann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</si>
</sst>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5" fontId="0" fillId="0" borderId="0" xfId="0" applyNumberFormat="1"/>
    <xf numFmtId="0" fontId="0" fillId="2" borderId="0" xfId="0" applyFill="1"/>
    <xf numFmtId="165" fontId="0" fillId="2" borderId="0" xfId="0" applyNumberFormat="1" applyFill="1"/>
    <xf numFmtId="0" fontId="0" fillId="0" borderId="0" xfId="0" quotePrefix="1"/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7E986-7593-8543-8F73-C13F2CFBBC88}">
  <dimension ref="A1:G30"/>
  <sheetViews>
    <sheetView tabSelected="1" zoomScale="134" workbookViewId="0">
      <selection activeCell="G17" sqref="G17"/>
    </sheetView>
  </sheetViews>
  <sheetFormatPr baseColWidth="10" defaultRowHeight="16" x14ac:dyDescent="0.2"/>
  <cols>
    <col min="2" max="2" width="18.5" bestFit="1" customWidth="1"/>
  </cols>
  <sheetData>
    <row r="1" spans="1:7" x14ac:dyDescent="0.2">
      <c r="A1" t="s">
        <v>4</v>
      </c>
    </row>
    <row r="2" spans="1:7" x14ac:dyDescent="0.2">
      <c r="B2" s="1" t="s">
        <v>0</v>
      </c>
      <c r="C2" s="1" t="s">
        <v>1</v>
      </c>
      <c r="D2" s="1" t="s">
        <v>2</v>
      </c>
      <c r="E2" s="1" t="s">
        <v>3</v>
      </c>
      <c r="F2" s="1" t="s">
        <v>12</v>
      </c>
    </row>
    <row r="3" spans="1:7" x14ac:dyDescent="0.2">
      <c r="B3" t="s">
        <v>5</v>
      </c>
      <c r="C3">
        <v>0.78469999999999995</v>
      </c>
      <c r="D3">
        <v>0.77980000000000005</v>
      </c>
      <c r="E3">
        <v>0.77729999999999999</v>
      </c>
      <c r="F3" s="2">
        <f>AVERAGE(C3:E3)</f>
        <v>0.78060000000000007</v>
      </c>
    </row>
    <row r="4" spans="1:7" x14ac:dyDescent="0.2">
      <c r="B4" t="s">
        <v>6</v>
      </c>
      <c r="C4">
        <v>0.77349999999999997</v>
      </c>
      <c r="D4">
        <v>0.78449999999999998</v>
      </c>
      <c r="E4">
        <v>0.7782</v>
      </c>
      <c r="F4" s="2">
        <f t="shared" ref="F4:F8" si="0">AVERAGE(C4:E4)</f>
        <v>0.77873333333333328</v>
      </c>
    </row>
    <row r="5" spans="1:7" x14ac:dyDescent="0.2">
      <c r="B5" t="s">
        <v>7</v>
      </c>
      <c r="C5">
        <v>0.78380000000000005</v>
      </c>
      <c r="D5">
        <v>0.77429999999999999</v>
      </c>
      <c r="E5">
        <v>0.77869999999999995</v>
      </c>
      <c r="F5" s="2">
        <f t="shared" si="0"/>
        <v>0.77893333333333337</v>
      </c>
      <c r="G5" s="5" t="s">
        <v>13</v>
      </c>
    </row>
    <row r="6" spans="1:7" x14ac:dyDescent="0.2">
      <c r="B6" t="s">
        <v>8</v>
      </c>
      <c r="C6">
        <v>0.77939999999999998</v>
      </c>
      <c r="D6">
        <v>0.78320000000000001</v>
      </c>
      <c r="E6">
        <v>0.78069999999999995</v>
      </c>
      <c r="F6" s="2">
        <f t="shared" si="0"/>
        <v>0.78110000000000002</v>
      </c>
    </row>
    <row r="7" spans="1:7" x14ac:dyDescent="0.2">
      <c r="B7" s="3" t="s">
        <v>9</v>
      </c>
      <c r="C7" s="3">
        <v>0.7792</v>
      </c>
      <c r="D7" s="3">
        <v>0.78900000000000003</v>
      </c>
      <c r="E7" s="3">
        <v>0.7873</v>
      </c>
      <c r="F7" s="4">
        <f t="shared" si="0"/>
        <v>0.78516666666666668</v>
      </c>
    </row>
    <row r="8" spans="1:7" x14ac:dyDescent="0.2">
      <c r="B8" t="s">
        <v>10</v>
      </c>
      <c r="C8">
        <v>0.77949999999999997</v>
      </c>
      <c r="D8">
        <v>0.78259999999999996</v>
      </c>
      <c r="E8">
        <v>0.7782</v>
      </c>
      <c r="F8" s="2">
        <f t="shared" si="0"/>
        <v>0.78010000000000002</v>
      </c>
    </row>
    <row r="10" spans="1:7" x14ac:dyDescent="0.2">
      <c r="A10" t="s">
        <v>11</v>
      </c>
    </row>
    <row r="11" spans="1:7" x14ac:dyDescent="0.2">
      <c r="B11" s="1" t="s">
        <v>0</v>
      </c>
      <c r="C11" s="1" t="s">
        <v>1</v>
      </c>
      <c r="D11" s="1" t="s">
        <v>2</v>
      </c>
      <c r="E11" s="1" t="s">
        <v>3</v>
      </c>
      <c r="F11" s="1" t="s">
        <v>12</v>
      </c>
    </row>
    <row r="12" spans="1:7" x14ac:dyDescent="0.2">
      <c r="B12" t="s">
        <v>5</v>
      </c>
      <c r="C12">
        <v>0.75780000000000003</v>
      </c>
      <c r="D12">
        <v>0.75549999999999995</v>
      </c>
      <c r="E12">
        <v>0.75429999999999997</v>
      </c>
      <c r="F12" s="2">
        <f>AVERAGE(C12:E12)</f>
        <v>0.75586666666666658</v>
      </c>
    </row>
    <row r="13" spans="1:7" x14ac:dyDescent="0.2">
      <c r="B13" t="s">
        <v>6</v>
      </c>
      <c r="C13">
        <v>0.75309999999999999</v>
      </c>
      <c r="D13">
        <v>0.76249999999999996</v>
      </c>
      <c r="E13">
        <v>0.75609999999999999</v>
      </c>
      <c r="F13" s="2">
        <f t="shared" ref="F13:F17" si="1">AVERAGE(C13:E13)</f>
        <v>0.75723333333333331</v>
      </c>
    </row>
    <row r="14" spans="1:7" x14ac:dyDescent="0.2">
      <c r="B14" t="s">
        <v>7</v>
      </c>
      <c r="C14">
        <v>0.76119999999999999</v>
      </c>
      <c r="D14">
        <v>0.75239999999999996</v>
      </c>
      <c r="E14">
        <v>0.75849999999999995</v>
      </c>
      <c r="F14" s="2">
        <f t="shared" si="1"/>
        <v>0.75736666666666663</v>
      </c>
      <c r="G14" s="5" t="s">
        <v>13</v>
      </c>
    </row>
    <row r="15" spans="1:7" x14ac:dyDescent="0.2">
      <c r="B15" t="s">
        <v>8</v>
      </c>
      <c r="C15">
        <v>0.75680000000000003</v>
      </c>
      <c r="D15">
        <v>0.76200000000000001</v>
      </c>
      <c r="E15">
        <v>0.75480000000000003</v>
      </c>
      <c r="F15" s="2">
        <f t="shared" si="1"/>
        <v>0.75786666666666669</v>
      </c>
    </row>
    <row r="16" spans="1:7" x14ac:dyDescent="0.2">
      <c r="B16" s="3" t="s">
        <v>9</v>
      </c>
      <c r="C16" s="3">
        <v>0.76119999999999999</v>
      </c>
      <c r="D16" s="3">
        <v>0.76749999999999996</v>
      </c>
      <c r="E16" s="3">
        <v>0.76070000000000004</v>
      </c>
      <c r="F16" s="4">
        <f t="shared" si="1"/>
        <v>0.76313333333333333</v>
      </c>
    </row>
    <row r="17" spans="1:6" x14ac:dyDescent="0.2">
      <c r="B17" t="s">
        <v>10</v>
      </c>
      <c r="C17">
        <v>0.75609999999999999</v>
      </c>
      <c r="D17">
        <v>0.76219999999999999</v>
      </c>
      <c r="E17">
        <v>0.75329999999999997</v>
      </c>
      <c r="F17" s="2">
        <f t="shared" si="1"/>
        <v>0.75719999999999998</v>
      </c>
    </row>
    <row r="19" spans="1:6" x14ac:dyDescent="0.2">
      <c r="A19" t="s">
        <v>14</v>
      </c>
    </row>
    <row r="20" spans="1:6" x14ac:dyDescent="0.2">
      <c r="B20" s="1" t="s">
        <v>0</v>
      </c>
      <c r="C20" s="1" t="s">
        <v>1</v>
      </c>
      <c r="D20" s="1" t="s">
        <v>2</v>
      </c>
      <c r="E20" s="1" t="s">
        <v>3</v>
      </c>
      <c r="F20" s="1" t="s">
        <v>12</v>
      </c>
    </row>
    <row r="21" spans="1:6" x14ac:dyDescent="0.2">
      <c r="B21" t="s">
        <v>5</v>
      </c>
      <c r="C21">
        <f>C3-C12</f>
        <v>2.6899999999999924E-2</v>
      </c>
      <c r="D21">
        <f t="shared" ref="D21:F21" si="2">D3-D12</f>
        <v>2.4300000000000099E-2</v>
      </c>
      <c r="E21">
        <f t="shared" si="2"/>
        <v>2.300000000000002E-2</v>
      </c>
      <c r="F21" s="2">
        <f t="shared" si="2"/>
        <v>2.4733333333333496E-2</v>
      </c>
    </row>
    <row r="22" spans="1:6" x14ac:dyDescent="0.2">
      <c r="B22" t="s">
        <v>6</v>
      </c>
      <c r="C22">
        <f t="shared" ref="C22:F26" si="3">C4-C13</f>
        <v>2.0399999999999974E-2</v>
      </c>
      <c r="D22">
        <f t="shared" si="3"/>
        <v>2.200000000000002E-2</v>
      </c>
      <c r="E22">
        <f t="shared" si="3"/>
        <v>2.2100000000000009E-2</v>
      </c>
      <c r="F22" s="2">
        <f t="shared" si="3"/>
        <v>2.1499999999999964E-2</v>
      </c>
    </row>
    <row r="23" spans="1:6" x14ac:dyDescent="0.2">
      <c r="B23" t="s">
        <v>7</v>
      </c>
      <c r="C23">
        <f t="shared" si="3"/>
        <v>2.2600000000000064E-2</v>
      </c>
      <c r="D23">
        <f t="shared" si="3"/>
        <v>2.1900000000000031E-2</v>
      </c>
      <c r="E23">
        <f t="shared" si="3"/>
        <v>2.0199999999999996E-2</v>
      </c>
      <c r="F23" s="2">
        <f t="shared" si="3"/>
        <v>2.1566666666666734E-2</v>
      </c>
    </row>
    <row r="24" spans="1:6" x14ac:dyDescent="0.2">
      <c r="B24" t="s">
        <v>8</v>
      </c>
      <c r="C24">
        <f t="shared" si="3"/>
        <v>2.2599999999999953E-2</v>
      </c>
      <c r="D24">
        <f t="shared" si="3"/>
        <v>2.1199999999999997E-2</v>
      </c>
      <c r="E24">
        <f t="shared" si="3"/>
        <v>2.5899999999999923E-2</v>
      </c>
      <c r="F24" s="2">
        <f t="shared" si="3"/>
        <v>2.3233333333333328E-2</v>
      </c>
    </row>
    <row r="25" spans="1:6" x14ac:dyDescent="0.2">
      <c r="B25" s="6" t="s">
        <v>9</v>
      </c>
      <c r="C25">
        <f t="shared" si="3"/>
        <v>1.8000000000000016E-2</v>
      </c>
      <c r="D25">
        <f t="shared" si="3"/>
        <v>2.1500000000000075E-2</v>
      </c>
      <c r="E25">
        <f t="shared" si="3"/>
        <v>2.6599999999999957E-2</v>
      </c>
      <c r="F25" s="2">
        <f t="shared" si="3"/>
        <v>2.2033333333333349E-2</v>
      </c>
    </row>
    <row r="26" spans="1:6" x14ac:dyDescent="0.2">
      <c r="B26" t="s">
        <v>10</v>
      </c>
      <c r="C26">
        <f t="shared" si="3"/>
        <v>2.3399999999999976E-2</v>
      </c>
      <c r="D26">
        <f t="shared" si="3"/>
        <v>2.0399999999999974E-2</v>
      </c>
      <c r="E26">
        <f t="shared" si="3"/>
        <v>2.4900000000000033E-2</v>
      </c>
      <c r="F26" s="2">
        <f t="shared" si="3"/>
        <v>2.2900000000000031E-2</v>
      </c>
    </row>
    <row r="28" spans="1:6" x14ac:dyDescent="0.2">
      <c r="A28" s="5" t="s">
        <v>25</v>
      </c>
    </row>
    <row r="29" spans="1:6" x14ac:dyDescent="0.2">
      <c r="A29" s="5" t="s">
        <v>26</v>
      </c>
    </row>
    <row r="30" spans="1:6" x14ac:dyDescent="0.2">
      <c r="A30" s="5" t="s">
        <v>27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EC1A-BF7D-8344-985D-D7074CA59D97}">
  <dimension ref="A1:F7"/>
  <sheetViews>
    <sheetView zoomScale="150" workbookViewId="0">
      <selection activeCell="A8" sqref="A8"/>
    </sheetView>
  </sheetViews>
  <sheetFormatPr baseColWidth="10" defaultRowHeight="16" x14ac:dyDescent="0.2"/>
  <sheetData>
    <row r="1" spans="1:6" x14ac:dyDescent="0.2">
      <c r="A1" t="s">
        <v>23</v>
      </c>
    </row>
    <row r="2" spans="1:6" x14ac:dyDescent="0.2">
      <c r="B2" s="1" t="s">
        <v>15</v>
      </c>
      <c r="C2" s="1" t="s">
        <v>16</v>
      </c>
      <c r="D2" s="1" t="s">
        <v>17</v>
      </c>
      <c r="E2" s="1" t="s">
        <v>18</v>
      </c>
      <c r="F2" s="1" t="s">
        <v>19</v>
      </c>
    </row>
    <row r="3" spans="1:6" x14ac:dyDescent="0.2">
      <c r="B3" t="s">
        <v>20</v>
      </c>
      <c r="C3" s="2">
        <v>0.78</v>
      </c>
      <c r="D3">
        <v>0.75770000000000004</v>
      </c>
      <c r="E3">
        <v>0.32490000000000002</v>
      </c>
      <c r="F3">
        <v>0.46910000000000002</v>
      </c>
    </row>
    <row r="4" spans="1:6" x14ac:dyDescent="0.2">
      <c r="B4" t="s">
        <v>21</v>
      </c>
      <c r="C4">
        <v>0.78220000000000001</v>
      </c>
      <c r="D4">
        <v>0.76039999999999996</v>
      </c>
      <c r="E4">
        <v>0.32450000000000001</v>
      </c>
      <c r="F4">
        <v>0.4667</v>
      </c>
    </row>
    <row r="5" spans="1:6" x14ac:dyDescent="0.2">
      <c r="B5" t="s">
        <v>22</v>
      </c>
      <c r="C5">
        <v>0.78010000000000002</v>
      </c>
      <c r="D5">
        <v>0.75629999999999997</v>
      </c>
      <c r="E5">
        <v>0.32929999999999998</v>
      </c>
      <c r="F5">
        <v>0.47060000000000002</v>
      </c>
    </row>
    <row r="7" spans="1:6" x14ac:dyDescent="0.2">
      <c r="A7" s="5" t="s">
        <v>24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R^2 ja nach Akt. Und scaling </vt:lpstr>
      <vt:lpstr>Vergleich Skalierungen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Hollfoth</dc:creator>
  <cp:lastModifiedBy>Felix Hollfoth</cp:lastModifiedBy>
  <dcterms:created xsi:type="dcterms:W3CDTF">2026-03-07T15:48:27Z</dcterms:created>
  <dcterms:modified xsi:type="dcterms:W3CDTF">2026-03-07T16:38:09Z</dcterms:modified>
</cp:coreProperties>
</file>